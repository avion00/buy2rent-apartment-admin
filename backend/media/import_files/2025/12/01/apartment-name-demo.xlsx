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F:\media1\c\Desktop\"/>
    </mc:Choice>
  </mc:AlternateContent>
  <xr:revisionPtr revIDLastSave="0" documentId="13_ncr:1_{6B6DA6C7-BAAE-4CDB-A64A-FFA3FDAE5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ting" sheetId="1" r:id="rId1"/>
    <sheet name="Laminated floors" sheetId="6" r:id="rId2"/>
    <sheet name="walpapers" sheetId="7" r:id="rId3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7" l="1"/>
  <c r="P2" i="7"/>
  <c r="R2" i="1"/>
  <c r="P2" i="1"/>
  <c r="R2" i="6"/>
  <c r="P2" i="6"/>
</calcChain>
</file>

<file path=xl/sharedStrings.xml><?xml version="1.0" encoding="utf-8"?>
<sst xmlns="http://schemas.openxmlformats.org/spreadsheetml/2006/main" count="140" uniqueCount="37">
  <si>
    <t>S.N</t>
  </si>
  <si>
    <t>Room</t>
  </si>
  <si>
    <t>Bathroom</t>
  </si>
  <si>
    <t>boiler</t>
  </si>
  <si>
    <t>heating radiator</t>
  </si>
  <si>
    <t>heating panel</t>
  </si>
  <si>
    <t>Product Name</t>
  </si>
  <si>
    <t>Heating radiator</t>
  </si>
  <si>
    <t>Product Image</t>
  </si>
  <si>
    <t>Quantity</t>
  </si>
  <si>
    <t>Cost</t>
  </si>
  <si>
    <t>Total Cost</t>
  </si>
  <si>
    <t>link</t>
  </si>
  <si>
    <t>5000 Ft</t>
  </si>
  <si>
    <t>454000 Ft</t>
  </si>
  <si>
    <t>40000 Ft</t>
  </si>
  <si>
    <t>https://kazanpro.hu/bosch-tronic-tr2000t-80-b-fali-villanybojler-fuggoleges-20-kw-80-l--7736506107.html</t>
  </si>
  <si>
    <t>https://mexen.co.hu/35889-mexen-mars-elektromos-radiator-900-x-400-mm-300-w-fekete-w110-0900-400-2300-70-5905315238153.html</t>
  </si>
  <si>
    <t>https://elektroporta.hu/FG-FS-822</t>
  </si>
  <si>
    <t>Kitchen-livingroom</t>
  </si>
  <si>
    <t>Description</t>
  </si>
  <si>
    <t>EGGER HOME LAMINÁLT PADLÓ LIVINGSTONE TÖLGY 1292X193X8MM, 1,99 M2/CS, K32</t>
  </si>
  <si>
    <t>Szegélyléc Modern 60 fehér</t>
  </si>
  <si>
    <t>laminated floor</t>
  </si>
  <si>
    <t>skirting board for laminate flooring</t>
  </si>
  <si>
    <t>nm</t>
  </si>
  <si>
    <t>size</t>
  </si>
  <si>
    <t>plusz nm</t>
  </si>
  <si>
    <t>price/nm</t>
  </si>
  <si>
    <t>price/package</t>
  </si>
  <si>
    <t>nm/package</t>
  </si>
  <si>
    <t>all package</t>
  </si>
  <si>
    <t>package need to order</t>
  </si>
  <si>
    <t>all price</t>
  </si>
  <si>
    <t>128x3X3</t>
  </si>
  <si>
    <t>hero</t>
  </si>
  <si>
    <t>templates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</si>
</sst>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ebp"/><Relationship Id="rId2" Type="http://schemas.openxmlformats.org/officeDocument/2006/relationships/image" Target="../media/image2.webp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E46D68C-2D54-4704-8ABD-AA0B331C44B5}"/>
            </a:ext>
          </a:extLst>
        </xdr:cNvPr>
        <xdr:cNvSpPr/>
      </xdr:nvSpPr>
      <xdr:spPr>
        <a:xfrm>
          <a:off x="2545080" y="1363980"/>
          <a:ext cx="13106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AD8E0F0-1FF5-468F-8BD5-F677040C4579}"/>
            </a:ext>
          </a:extLst>
        </xdr:cNvPr>
        <xdr:cNvSpPr/>
      </xdr:nvSpPr>
      <xdr:spPr>
        <a:xfrm>
          <a:off x="2545080" y="18288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ED886232-02AA-4A71-AD43-27C5490F3784}"/>
            </a:ext>
          </a:extLst>
        </xdr:cNvPr>
        <xdr:cNvSpPr/>
      </xdr:nvSpPr>
      <xdr:spPr>
        <a:xfrm>
          <a:off x="2545080" y="243840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9E75F1E-1BF9-490C-8E06-324585A89DA1}"/>
            </a:ext>
          </a:extLst>
        </xdr:cNvPr>
        <xdr:cNvSpPr/>
      </xdr:nvSpPr>
      <xdr:spPr>
        <a:xfrm>
          <a:off x="254508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D60681-8C4C-4114-8786-CAD37202720A}"/>
            </a:ext>
          </a:extLst>
        </xdr:cNvPr>
        <xdr:cNvSpPr/>
      </xdr:nvSpPr>
      <xdr:spPr>
        <a:xfrm>
          <a:off x="254508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6FF37E0-8AC8-43F1-8868-B9C5ED8D00C9}"/>
            </a:ext>
          </a:extLst>
        </xdr:cNvPr>
        <xdr:cNvSpPr/>
      </xdr:nvSpPr>
      <xdr:spPr>
        <a:xfrm>
          <a:off x="269748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7F99B99-D2E8-4AC9-8469-922096668358}"/>
            </a:ext>
          </a:extLst>
        </xdr:cNvPr>
        <xdr:cNvSpPr/>
      </xdr:nvSpPr>
      <xdr:spPr>
        <a:xfrm>
          <a:off x="3718560" y="1577340"/>
          <a:ext cx="127254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4</xdr:col>
      <xdr:colOff>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726A2DF-779E-45D1-A0D4-926B4BFBC959}"/>
            </a:ext>
          </a:extLst>
        </xdr:cNvPr>
        <xdr:cNvSpPr/>
      </xdr:nvSpPr>
      <xdr:spPr>
        <a:xfrm>
          <a:off x="3718560" y="396240"/>
          <a:ext cx="1272540" cy="11811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0</xdr:colOff>
      <xdr:row>4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3DA1100-965B-4052-BA77-FFE911276DB2}"/>
            </a:ext>
          </a:extLst>
        </xdr:cNvPr>
        <xdr:cNvSpPr/>
      </xdr:nvSpPr>
      <xdr:spPr>
        <a:xfrm>
          <a:off x="3718560" y="2651760"/>
          <a:ext cx="1272540" cy="99822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lektroporta.hu/FG-FS-822" TargetMode="External"/><Relationship Id="rId2" Type="http://schemas.openxmlformats.org/officeDocument/2006/relationships/hyperlink" Target="https://mexen.co.hu/35889-mexen-mars-elektromos-radiator-900-x-400-mm-300-w-fekete-w110-0900-400-2300-70-5905315238153.html" TargetMode="External"/><Relationship Id="rId1" Type="http://schemas.openxmlformats.org/officeDocument/2006/relationships/hyperlink" Target="https://kazanpro.hu/bosch-tronic-tr2000t-80-b-fali-villanybojler-fuggoleges-20-kw-80-l--7736506107.html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0"/>
  <sheetViews>
    <sheetView tabSelected="1" topLeftCell="E1" workbookViewId="0">
      <selection activeCell="H4" sqref="H4"/>
    </sheetView>
  </sheetViews>
  <sheetFormatPr defaultRowHeight="14.4" x14ac:dyDescent="0.3"/>
  <cols>
    <col min="2" max="2" width="14.109375" bestFit="1" customWidth="1"/>
    <col min="3" max="3" width="14.109375" customWidth="1"/>
    <col min="4" max="4" width="18.5546875" customWidth="1"/>
    <col min="7" max="7" width="9.33203125" bestFit="1" customWidth="1"/>
    <col min="8" max="8" width="34.44140625" customWidth="1"/>
    <col min="9" max="9" width="117.33203125" bestFit="1" customWidth="1"/>
    <col min="10" max="10" width="8.44140625" bestFit="1" customWidth="1"/>
    <col min="11" max="11" width="8.77734375" bestFit="1" customWidth="1"/>
    <col min="12" max="12" width="13.109375" bestFit="1" customWidth="1"/>
    <col min="13" max="13" width="11.6640625" bestFit="1" customWidth="1"/>
    <col min="14" max="14" width="10.33203125" bestFit="1" customWidth="1"/>
    <col min="15" max="15" width="20.109375" bestFit="1" customWidth="1"/>
    <col min="16" max="16" width="7.4414062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2</v>
      </c>
      <c r="C2" s="3" t="s">
        <v>3</v>
      </c>
      <c r="D2" s="3"/>
      <c r="E2" s="2">
        <v>1</v>
      </c>
      <c r="F2" s="3" t="s">
        <v>13</v>
      </c>
      <c r="G2" s="3" t="s">
        <v>13</v>
      </c>
      <c r="H2" s="3" t="s">
        <v>35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2</v>
      </c>
      <c r="C3" s="3" t="s">
        <v>4</v>
      </c>
      <c r="D3" s="3"/>
      <c r="E3" s="2">
        <v>1</v>
      </c>
      <c r="F3" s="3" t="s">
        <v>14</v>
      </c>
      <c r="G3" s="3" t="s">
        <v>14</v>
      </c>
      <c r="H3" s="3" t="s">
        <v>36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383F5F73-627C-4AC5-925A-080933311F57}"/>
    <hyperlink ref="I3" r:id="rId2" xr:uid="{0AFC6674-82D7-4DC7-8EC5-689500D4C935}"/>
    <hyperlink ref="I4" r:id="rId3" xr:uid="{C328FDF4-5B54-4574-BE57-8C580A492E72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E22F-D494-409B-9CBF-C1815C6A716C}">
  <dimension ref="A1:AJ40"/>
  <sheetViews>
    <sheetView topLeftCell="J1" workbookViewId="0">
      <selection activeCell="J2" sqref="J2:U2"/>
    </sheetView>
  </sheetViews>
  <sheetFormatPr defaultRowHeight="14.4" x14ac:dyDescent="0.3"/>
  <cols>
    <col min="2" max="2" width="16.33203125" bestFit="1" customWidth="1"/>
    <col min="3" max="3" width="29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04871080-8991-4CAF-9A88-7C3436C6091D}"/>
    <hyperlink ref="I3" r:id="rId2" xr:uid="{31A4D719-5898-4E26-A0E7-620E1345073A}"/>
    <hyperlink ref="I4" r:id="rId3" xr:uid="{0E78215C-C934-41A2-8587-41C30941B6A1}"/>
  </hyperlinks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EDA5-2F44-4422-A11C-358174BA2BC7}">
  <dimension ref="A1:AJ40"/>
  <sheetViews>
    <sheetView topLeftCell="N1" workbookViewId="0">
      <selection activeCell="J1" sqref="J1"/>
    </sheetView>
  </sheetViews>
  <sheetFormatPr defaultRowHeight="14.4" x14ac:dyDescent="0.3"/>
  <cols>
    <col min="2" max="2" width="16.33203125" bestFit="1" customWidth="1"/>
    <col min="3" max="3" width="29" customWidth="1"/>
    <col min="4" max="4" width="18.5546875" customWidth="1"/>
    <col min="7" max="7" width="9.33203125" bestFit="1" customWidth="1"/>
    <col min="8" max="8" width="29.77734375" bestFit="1" customWidth="1"/>
    <col min="9" max="9" width="117.33203125" bestFit="1" customWidth="1"/>
    <col min="13" max="13" width="8.77734375" bestFit="1" customWidth="1"/>
    <col min="14" max="14" width="13.109375" bestFit="1" customWidth="1"/>
    <col min="15" max="15" width="11.6640625" bestFit="1" customWidth="1"/>
    <col min="16" max="16" width="10.33203125" bestFit="1" customWidth="1"/>
    <col min="17" max="17" width="20.109375" bestFit="1" customWidth="1"/>
  </cols>
  <sheetData>
    <row r="1" spans="1:36" ht="31.2" customHeight="1" x14ac:dyDescent="0.3">
      <c r="A1" s="5" t="s">
        <v>0</v>
      </c>
      <c r="B1" s="5" t="s">
        <v>1</v>
      </c>
      <c r="C1" s="5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20</v>
      </c>
      <c r="I1" s="5" t="s">
        <v>12</v>
      </c>
      <c r="J1" s="5" t="s">
        <v>26</v>
      </c>
      <c r="K1" s="5" t="s">
        <v>25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/>
      <c r="T1" s="5"/>
      <c r="U1" s="5"/>
      <c r="V1" s="5"/>
      <c r="W1" s="5"/>
      <c r="X1" s="5"/>
      <c r="Y1" s="5"/>
      <c r="Z1" s="5"/>
      <c r="AA1" s="5"/>
      <c r="AB1" s="5"/>
    </row>
    <row r="2" spans="1:36" ht="93" customHeight="1" x14ac:dyDescent="0.3">
      <c r="A2" s="2">
        <v>1</v>
      </c>
      <c r="B2" s="3" t="s">
        <v>19</v>
      </c>
      <c r="C2" s="3" t="s">
        <v>21</v>
      </c>
      <c r="D2" s="3"/>
      <c r="E2" s="2">
        <v>1</v>
      </c>
      <c r="F2" s="3" t="s">
        <v>13</v>
      </c>
      <c r="G2" s="3" t="s">
        <v>13</v>
      </c>
      <c r="H2" s="3" t="s">
        <v>23</v>
      </c>
      <c r="I2" s="4" t="s">
        <v>16</v>
      </c>
      <c r="J2" s="3" t="s">
        <v>34</v>
      </c>
      <c r="K2" s="3">
        <v>18.3</v>
      </c>
      <c r="L2" s="3">
        <v>21.756</v>
      </c>
      <c r="M2" s="3">
        <v>4009</v>
      </c>
      <c r="N2" s="3">
        <v>8178</v>
      </c>
      <c r="O2" s="3">
        <v>1.9950000000000001</v>
      </c>
      <c r="P2" s="3">
        <f>L2/O2</f>
        <v>10.905263157894737</v>
      </c>
      <c r="Q2" s="3">
        <v>11</v>
      </c>
      <c r="R2" s="3">
        <f>N2*Q2</f>
        <v>89958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84.6" customHeight="1" x14ac:dyDescent="0.3">
      <c r="A3" s="2">
        <v>2</v>
      </c>
      <c r="B3" s="3" t="s">
        <v>19</v>
      </c>
      <c r="C3" s="3" t="s">
        <v>22</v>
      </c>
      <c r="D3" s="3"/>
      <c r="E3" s="2">
        <v>1</v>
      </c>
      <c r="F3" s="3" t="s">
        <v>14</v>
      </c>
      <c r="G3" s="3" t="s">
        <v>14</v>
      </c>
      <c r="H3" s="3" t="s">
        <v>24</v>
      </c>
      <c r="I3" s="4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78.599999999999994" customHeight="1" x14ac:dyDescent="0.3">
      <c r="A4" s="2">
        <v>3</v>
      </c>
      <c r="B4" s="3" t="s">
        <v>7</v>
      </c>
      <c r="C4" s="3" t="s">
        <v>5</v>
      </c>
      <c r="D4" s="3"/>
      <c r="E4" s="2">
        <v>1</v>
      </c>
      <c r="F4" s="3" t="s">
        <v>15</v>
      </c>
      <c r="G4" s="3" t="s">
        <v>15</v>
      </c>
      <c r="H4" s="3"/>
      <c r="I4" s="4" t="s">
        <v>18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x14ac:dyDescent="0.3">
      <c r="A5" s="2">
        <v>4</v>
      </c>
      <c r="B5" s="3"/>
      <c r="C5" s="3"/>
      <c r="D5" s="3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 s="2">
        <v>5</v>
      </c>
      <c r="B6" s="3"/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3">
      <c r="A7" s="2">
        <v>6</v>
      </c>
      <c r="B7" s="3"/>
      <c r="C7" s="3"/>
      <c r="D7" s="3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3">
      <c r="A8" s="2">
        <v>7</v>
      </c>
      <c r="B8" s="3"/>
      <c r="C8" s="3"/>
      <c r="D8" s="3"/>
      <c r="E8" s="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3">
      <c r="A9" s="2">
        <v>8</v>
      </c>
      <c r="B9" s="3"/>
      <c r="C9" s="3"/>
      <c r="D9" s="3"/>
      <c r="E9" s="1"/>
    </row>
    <row r="10" spans="1:36" x14ac:dyDescent="0.3">
      <c r="A10" s="2">
        <v>9</v>
      </c>
      <c r="B10" s="3"/>
      <c r="C10" s="3"/>
      <c r="D10" s="3"/>
      <c r="E10" s="1"/>
    </row>
    <row r="11" spans="1:36" x14ac:dyDescent="0.3">
      <c r="A11" s="2">
        <v>10</v>
      </c>
      <c r="B11" s="3"/>
      <c r="C11" s="3"/>
      <c r="D11" s="3"/>
      <c r="E11" s="1"/>
    </row>
    <row r="12" spans="1:36" x14ac:dyDescent="0.3">
      <c r="A12" s="2">
        <v>11</v>
      </c>
      <c r="B12" s="3"/>
      <c r="C12" s="3"/>
      <c r="D12" s="3"/>
      <c r="E12" s="1"/>
    </row>
    <row r="13" spans="1:36" x14ac:dyDescent="0.3">
      <c r="A13" s="2">
        <v>12</v>
      </c>
      <c r="B13" s="3"/>
      <c r="C13" s="3"/>
      <c r="D13" s="3"/>
      <c r="E13" s="1"/>
    </row>
    <row r="14" spans="1:36" x14ac:dyDescent="0.3">
      <c r="A14" s="2">
        <v>13</v>
      </c>
      <c r="B14" s="3"/>
      <c r="C14" s="3"/>
      <c r="D14" s="3"/>
      <c r="E14" s="1"/>
    </row>
    <row r="15" spans="1:36" x14ac:dyDescent="0.3">
      <c r="A15" s="2">
        <v>14</v>
      </c>
      <c r="B15" s="3"/>
      <c r="C15" s="3"/>
      <c r="D15" s="3"/>
      <c r="E15" s="1"/>
    </row>
    <row r="16" spans="1:36" x14ac:dyDescent="0.3">
      <c r="A16" s="2">
        <v>15</v>
      </c>
      <c r="B16" s="3"/>
      <c r="C16" s="3"/>
      <c r="D16" s="3"/>
      <c r="E16" s="1"/>
    </row>
    <row r="17" spans="1:5" x14ac:dyDescent="0.3">
      <c r="A17" s="2">
        <v>16</v>
      </c>
      <c r="B17" s="3"/>
      <c r="C17" s="3"/>
      <c r="D17" s="3"/>
      <c r="E17" s="1"/>
    </row>
    <row r="18" spans="1:5" x14ac:dyDescent="0.3">
      <c r="A18" s="2">
        <v>17</v>
      </c>
      <c r="B18" s="3"/>
      <c r="C18" s="3"/>
      <c r="D18" s="3"/>
      <c r="E18" s="1"/>
    </row>
    <row r="19" spans="1:5" x14ac:dyDescent="0.3">
      <c r="A19" s="2">
        <v>18</v>
      </c>
      <c r="B19" s="3"/>
      <c r="C19" s="3"/>
      <c r="D19" s="3"/>
      <c r="E19" s="1"/>
    </row>
    <row r="20" spans="1:5" x14ac:dyDescent="0.3">
      <c r="A20" s="2">
        <v>19</v>
      </c>
      <c r="B20" s="3"/>
      <c r="C20" s="3"/>
      <c r="D20" s="3"/>
      <c r="E20" s="1"/>
    </row>
    <row r="21" spans="1:5" x14ac:dyDescent="0.3">
      <c r="A21" s="2">
        <v>20</v>
      </c>
      <c r="B21" s="3"/>
      <c r="C21" s="3"/>
      <c r="D21" s="3"/>
      <c r="E21" s="1"/>
    </row>
    <row r="22" spans="1:5" x14ac:dyDescent="0.3">
      <c r="A22" s="2">
        <v>21</v>
      </c>
      <c r="B22" s="3"/>
      <c r="C22" s="3"/>
      <c r="D22" s="3"/>
      <c r="E22" s="1"/>
    </row>
    <row r="23" spans="1:5" x14ac:dyDescent="0.3">
      <c r="A23" s="2">
        <v>22</v>
      </c>
      <c r="B23" s="3"/>
      <c r="C23" s="3"/>
      <c r="D23" s="3"/>
      <c r="E23" s="1"/>
    </row>
    <row r="24" spans="1:5" x14ac:dyDescent="0.3">
      <c r="A24" s="2">
        <v>23</v>
      </c>
      <c r="B24" s="3"/>
      <c r="C24" s="3"/>
      <c r="D24" s="3"/>
      <c r="E24" s="1"/>
    </row>
    <row r="25" spans="1:5" x14ac:dyDescent="0.3">
      <c r="A25" s="2">
        <v>24</v>
      </c>
      <c r="B25" s="3"/>
      <c r="C25" s="3"/>
      <c r="D25" s="3"/>
      <c r="E25" s="1"/>
    </row>
    <row r="26" spans="1:5" x14ac:dyDescent="0.3">
      <c r="A26" s="2">
        <v>25</v>
      </c>
      <c r="B26" s="3"/>
      <c r="C26" s="3"/>
      <c r="D26" s="3"/>
      <c r="E26" s="1"/>
    </row>
    <row r="27" spans="1:5" x14ac:dyDescent="0.3">
      <c r="A27" s="1"/>
      <c r="E27" s="1"/>
    </row>
    <row r="28" spans="1:5" x14ac:dyDescent="0.3">
      <c r="A28" s="1"/>
      <c r="E28" s="1"/>
    </row>
    <row r="29" spans="1:5" x14ac:dyDescent="0.3">
      <c r="A29" s="1"/>
      <c r="E29" s="1"/>
    </row>
    <row r="30" spans="1:5" x14ac:dyDescent="0.3">
      <c r="A30" s="1"/>
      <c r="E30" s="1"/>
    </row>
    <row r="31" spans="1:5" x14ac:dyDescent="0.3">
      <c r="A31" s="1"/>
      <c r="E31" s="1"/>
    </row>
    <row r="32" spans="1:5" x14ac:dyDescent="0.3">
      <c r="A32" s="1"/>
      <c r="E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</sheetData>
  <hyperlinks>
    <hyperlink ref="I2" r:id="rId1" xr:uid="{68B59399-C00C-4C23-B9C3-5034005BF0CD}"/>
    <hyperlink ref="I3" r:id="rId2" xr:uid="{518E585C-B2AA-4B5C-ABF6-C4F7796D2E66}"/>
    <hyperlink ref="I4" r:id="rId3" xr:uid="{DF29F15A-796A-4EF4-AA73-6102F077A489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Heating</vt:lpstr>
      <vt:lpstr>Laminated floors</vt:lpstr>
      <vt:lpstr>walpapers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Chaudhary</dc:creator>
  <cp:lastModifiedBy>Abhishek Chaudhary</cp:lastModifiedBy>
  <dcterms:created xsi:type="dcterms:W3CDTF">2015-06-05T18:17:20Z</dcterms:created>
  <dcterms:modified xsi:type="dcterms:W3CDTF">2025-11-19T09:07:56Z</dcterms:modified>
</cp:coreProperties>
</file>